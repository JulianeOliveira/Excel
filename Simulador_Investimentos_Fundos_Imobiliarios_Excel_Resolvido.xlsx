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ane\Documents\GitHub\excel\"/>
    </mc:Choice>
  </mc:AlternateContent>
  <xr:revisionPtr revIDLastSave="0" documentId="8_{6475FDB6-AAC9-44B8-B4DB-E624E478E902}" xr6:coauthVersionLast="47" xr6:coauthVersionMax="47" xr10:uidLastSave="{00000000-0000-0000-0000-000000000000}"/>
  <bookViews>
    <workbookView xWindow="-120" yWindow="-120" windowWidth="20730" windowHeight="11160" xr2:uid="{3647F024-6880-46CB-A53C-F0628EA9AFC7}"/>
  </bookViews>
  <sheets>
    <sheet name="Planilha1" sheetId="1" r:id="rId1"/>
    <sheet name="Planilha2" sheetId="2" r:id="rId2"/>
  </sheets>
  <definedNames>
    <definedName name="aporte">Planilha1!$E$22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1" i="1" l="1"/>
  <c r="J41" i="1" s="1"/>
  <c r="H42" i="1"/>
  <c r="J42" i="1" s="1"/>
  <c r="H43" i="1"/>
  <c r="J43" i="1" s="1"/>
  <c r="H44" i="1"/>
  <c r="J44" i="1" s="1"/>
  <c r="H45" i="1"/>
  <c r="J45" i="1" s="1"/>
  <c r="H40" i="1"/>
  <c r="J40" i="1" s="1"/>
  <c r="A3" i="2"/>
  <c r="H3" i="2" s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" i="2"/>
  <c r="H37" i="1"/>
  <c r="E19" i="1"/>
  <c r="E30" i="1"/>
  <c r="H30" i="1" s="1"/>
  <c r="E31" i="1"/>
  <c r="H31" i="1" s="1"/>
  <c r="E32" i="1"/>
  <c r="H32" i="1" s="1"/>
  <c r="E33" i="1"/>
  <c r="H33" i="1" s="1"/>
  <c r="E29" i="1"/>
  <c r="H29" i="1" s="1"/>
  <c r="E25" i="1"/>
  <c r="J47" i="1" l="1"/>
</calcChain>
</file>

<file path=xl/sharedStrings.xml><?xml version="1.0" encoding="utf-8"?>
<sst xmlns="http://schemas.openxmlformats.org/spreadsheetml/2006/main" count="71" uniqueCount="36">
  <si>
    <t>Quanto investir por mês?</t>
  </si>
  <si>
    <t>por quanto anos?</t>
  </si>
  <si>
    <t>Taxa de rendimento por mês?</t>
  </si>
  <si>
    <t>Patrimonio acumulado?</t>
  </si>
  <si>
    <t>Dividendo mensais?</t>
  </si>
  <si>
    <t>Investimento</t>
  </si>
  <si>
    <t>Cenário</t>
  </si>
  <si>
    <t>Quanto em 2 anos?</t>
  </si>
  <si>
    <t>Quanto em 5 anos?</t>
  </si>
  <si>
    <t>Quanto em 10 anos?</t>
  </si>
  <si>
    <t>Quanto em 20 anos?</t>
  </si>
  <si>
    <t>Quanto em 30 anos?</t>
  </si>
  <si>
    <t>Dividendos</t>
  </si>
  <si>
    <t>Salario</t>
  </si>
  <si>
    <t>Configurações</t>
  </si>
  <si>
    <t>Rendimento de carteira</t>
  </si>
  <si>
    <t>sugestação de valor</t>
  </si>
  <si>
    <t xml:space="preserve">Perfil: </t>
  </si>
  <si>
    <t>Agressivo</t>
  </si>
  <si>
    <t>Conservador</t>
  </si>
  <si>
    <t>Valor mensal de investimento</t>
  </si>
  <si>
    <t>Tipo de FII</t>
  </si>
  <si>
    <t>Papel</t>
  </si>
  <si>
    <t>Tijolo</t>
  </si>
  <si>
    <t>Hibridos</t>
  </si>
  <si>
    <t>Fof's</t>
  </si>
  <si>
    <t>Desenvolviemtno</t>
  </si>
  <si>
    <t>Hotelaria</t>
  </si>
  <si>
    <t>% sugerido</t>
  </si>
  <si>
    <t>Valores</t>
  </si>
  <si>
    <t>Valor final:</t>
  </si>
  <si>
    <t>Perfil</t>
  </si>
  <si>
    <t>Moderado</t>
  </si>
  <si>
    <t>Poercentagem</t>
  </si>
  <si>
    <t>Chave Composta</t>
  </si>
  <si>
    <t>Conservador-Tijolo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</si>
</sst>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  <font>
      <b/>
      <sz val="16"/>
      <color theme="1"/>
      <name val="Amasis MT Pro Medium"/>
      <family val="1"/>
    </font>
    <font>
      <b/>
      <sz val="26"/>
      <color theme="1"/>
      <name val="Amasis MT Pro Medium"/>
      <family val="1"/>
    </font>
    <font>
      <b/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44" fontId="2" fillId="0" borderId="0" xfId="0" applyNumberFormat="1" applyFont="1"/>
    <xf numFmtId="8" fontId="2" fillId="0" borderId="0" xfId="0" applyNumberFormat="1" applyFont="1" applyAlignment="1">
      <alignment horizontal="right"/>
    </xf>
    <xf numFmtId="8" fontId="2" fillId="2" borderId="0" xfId="1" applyNumberFormat="1" applyFont="1" applyFill="1" applyAlignment="1">
      <alignment horizontal="right"/>
    </xf>
    <xf numFmtId="44" fontId="2" fillId="2" borderId="0" xfId="1" applyFont="1" applyFill="1" applyAlignment="1">
      <alignment horizontal="right"/>
    </xf>
    <xf numFmtId="0" fontId="4" fillId="3" borderId="0" xfId="0" applyFont="1" applyFill="1" applyAlignment="1">
      <alignment horizontal="center"/>
    </xf>
    <xf numFmtId="0" fontId="2" fillId="4" borderId="0" xfId="0" applyFont="1" applyFill="1"/>
    <xf numFmtId="44" fontId="2" fillId="4" borderId="0" xfId="1" applyFont="1" applyFill="1"/>
    <xf numFmtId="44" fontId="2" fillId="4" borderId="0" xfId="0" applyNumberFormat="1" applyFont="1" applyFill="1"/>
    <xf numFmtId="0" fontId="2" fillId="5" borderId="0" xfId="0" applyFont="1" applyFill="1"/>
    <xf numFmtId="0" fontId="2" fillId="5" borderId="0" xfId="0" applyFont="1" applyFill="1" applyAlignment="1">
      <alignment horizontal="right"/>
    </xf>
    <xf numFmtId="44" fontId="2" fillId="5" borderId="0" xfId="1" applyFont="1" applyFill="1" applyAlignment="1">
      <alignment horizontal="right"/>
    </xf>
    <xf numFmtId="44" fontId="2" fillId="4" borderId="0" xfId="1" applyFont="1" applyFill="1" applyAlignment="1">
      <alignment horizontal="right"/>
    </xf>
    <xf numFmtId="10" fontId="2" fillId="4" borderId="0" xfId="0" applyNumberFormat="1" applyFont="1" applyFill="1" applyAlignment="1">
      <alignment horizontal="right"/>
    </xf>
    <xf numFmtId="44" fontId="2" fillId="4" borderId="0" xfId="0" applyNumberFormat="1" applyFont="1" applyFill="1" applyAlignment="1">
      <alignment horizontal="right"/>
    </xf>
    <xf numFmtId="8" fontId="2" fillId="4" borderId="0" xfId="0" applyNumberFormat="1" applyFont="1" applyFill="1" applyAlignment="1">
      <alignment horizontal="right"/>
    </xf>
    <xf numFmtId="8" fontId="2" fillId="4" borderId="0" xfId="1" applyNumberFormat="1" applyFont="1" applyFill="1" applyAlignment="1">
      <alignment horizontal="right"/>
    </xf>
    <xf numFmtId="0" fontId="2" fillId="2" borderId="0" xfId="0" applyFont="1" applyFill="1"/>
    <xf numFmtId="0" fontId="2" fillId="2" borderId="0" xfId="0" applyFont="1" applyFill="1"/>
    <xf numFmtId="10" fontId="2" fillId="0" borderId="0" xfId="0" applyNumberFormat="1" applyFont="1"/>
    <xf numFmtId="0" fontId="5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center"/>
    </xf>
    <xf numFmtId="44" fontId="7" fillId="0" borderId="0" xfId="1" applyFont="1"/>
    <xf numFmtId="44" fontId="6" fillId="0" borderId="0" xfId="1" applyFont="1" applyAlignment="1">
      <alignment horizontal="center"/>
    </xf>
    <xf numFmtId="0" fontId="6" fillId="6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7" fillId="6" borderId="0" xfId="0" applyFont="1" applyFill="1"/>
    <xf numFmtId="0" fontId="2" fillId="6" borderId="0" xfId="0" applyFont="1" applyFill="1"/>
    <xf numFmtId="0" fontId="2" fillId="6" borderId="0" xfId="0" applyFont="1" applyFill="1" applyAlignment="1">
      <alignment horizontal="center"/>
    </xf>
    <xf numFmtId="44" fontId="2" fillId="6" borderId="0" xfId="0" applyNumberFormat="1" applyFont="1" applyFill="1"/>
    <xf numFmtId="0" fontId="2" fillId="6" borderId="0" xfId="0" applyFont="1" applyFill="1" applyAlignment="1">
      <alignment horizontal="left"/>
    </xf>
    <xf numFmtId="9" fontId="0" fillId="0" borderId="0" xfId="2" applyFont="1"/>
    <xf numFmtId="0" fontId="0" fillId="6" borderId="0" xfId="0" applyFill="1"/>
    <xf numFmtId="9" fontId="0" fillId="6" borderId="0" xfId="2" applyFont="1" applyFill="1"/>
    <xf numFmtId="9" fontId="0" fillId="2" borderId="0" xfId="2" applyFont="1" applyFill="1"/>
    <xf numFmtId="9" fontId="0" fillId="4" borderId="0" xfId="0" applyNumberFormat="1" applyFill="1"/>
    <xf numFmtId="9" fontId="2" fillId="0" borderId="0" xfId="2" applyFont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800" b="1"/>
              <a:t>Evolução de valores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5"/>
          <c:order val="5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Planilha1!$B$40:$B$45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Fof's</c:v>
                </c:pt>
                <c:pt idx="4">
                  <c:v>Desenvolviemtno</c:v>
                </c:pt>
                <c:pt idx="5">
                  <c:v>Hotelaria</c:v>
                </c:pt>
              </c:strCache>
            </c:strRef>
          </c:cat>
          <c:val>
            <c:numRef>
              <c:f>Planilha1!$J$40:$J$45</c:f>
              <c:numCache>
                <c:formatCode>_("R$"* #,##0.00_);_("R$"* \(#,##0.00\);_("R$"* "-"??_);_(@_)</c:formatCode>
                <c:ptCount val="6"/>
                <c:pt idx="0">
                  <c:v>160</c:v>
                </c:pt>
                <c:pt idx="1">
                  <c:v>175</c:v>
                </c:pt>
                <c:pt idx="2">
                  <c:v>25</c:v>
                </c:pt>
                <c:pt idx="3">
                  <c:v>40</c:v>
                </c:pt>
                <c:pt idx="4">
                  <c:v>50</c:v>
                </c:pt>
                <c:pt idx="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50-42A7-9BD0-074564EA3E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9341128"/>
        <c:axId val="49933788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Planilha1!$B$40:$B$45</c15:sqref>
                        </c15:formulaRef>
                      </c:ext>
                    </c:extLst>
                    <c:strCache>
                      <c:ptCount val="6"/>
                      <c:pt idx="0">
                        <c:v>Papel</c:v>
                      </c:pt>
                      <c:pt idx="1">
                        <c:v>Tijolo</c:v>
                      </c:pt>
                      <c:pt idx="2">
                        <c:v>Hibridos</c:v>
                      </c:pt>
                      <c:pt idx="3">
                        <c:v>Fof's</c:v>
                      </c:pt>
                      <c:pt idx="4">
                        <c:v>Desenvolviemtno</c:v>
                      </c:pt>
                      <c:pt idx="5">
                        <c:v>Hotelaria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Planilha1!$C$40:$C$45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0950-42A7-9BD0-074564EA3E47}"/>
                  </c:ext>
                </c:extLst>
              </c15:ser>
            </c15:filteredBarSeries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Planilha1!$B$40:$B$45</c15:sqref>
                        </c15:formulaRef>
                      </c:ext>
                    </c:extLst>
                    <c:strCache>
                      <c:ptCount val="6"/>
                      <c:pt idx="0">
                        <c:v>Papel</c:v>
                      </c:pt>
                      <c:pt idx="1">
                        <c:v>Tijolo</c:v>
                      </c:pt>
                      <c:pt idx="2">
                        <c:v>Hibridos</c:v>
                      </c:pt>
                      <c:pt idx="3">
                        <c:v>Fof's</c:v>
                      </c:pt>
                      <c:pt idx="4">
                        <c:v>Desenvolviemtno</c:v>
                      </c:pt>
                      <c:pt idx="5">
                        <c:v>Hotelaria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Planilha1!$D$40:$D$45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0950-42A7-9BD0-074564EA3E47}"/>
                  </c:ext>
                </c:extLst>
              </c15:ser>
            </c15:filteredBarSeries>
            <c15:filteredBarSeries>
              <c15:ser>
                <c:idx val="2"/>
                <c:order val="2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Planilha1!$B$40:$B$45</c15:sqref>
                        </c15:formulaRef>
                      </c:ext>
                    </c:extLst>
                    <c:strCache>
                      <c:ptCount val="6"/>
                      <c:pt idx="0">
                        <c:v>Papel</c:v>
                      </c:pt>
                      <c:pt idx="1">
                        <c:v>Tijolo</c:v>
                      </c:pt>
                      <c:pt idx="2">
                        <c:v>Hibridos</c:v>
                      </c:pt>
                      <c:pt idx="3">
                        <c:v>Fof's</c:v>
                      </c:pt>
                      <c:pt idx="4">
                        <c:v>Desenvolviemtno</c:v>
                      </c:pt>
                      <c:pt idx="5">
                        <c:v>Hotelaria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Planilha1!$E$40:$E$45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0950-42A7-9BD0-074564EA3E47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Planilha1!$B$40:$B$45</c15:sqref>
                        </c15:formulaRef>
                      </c:ext>
                    </c:extLst>
                    <c:strCache>
                      <c:ptCount val="6"/>
                      <c:pt idx="0">
                        <c:v>Papel</c:v>
                      </c:pt>
                      <c:pt idx="1">
                        <c:v>Tijolo</c:v>
                      </c:pt>
                      <c:pt idx="2">
                        <c:v>Hibridos</c:v>
                      </c:pt>
                      <c:pt idx="3">
                        <c:v>Fof's</c:v>
                      </c:pt>
                      <c:pt idx="4">
                        <c:v>Desenvolviemtno</c:v>
                      </c:pt>
                      <c:pt idx="5">
                        <c:v>Hotelaria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Planilha1!$F$40:$F$45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0950-42A7-9BD0-074564EA3E47}"/>
                  </c:ext>
                </c:extLst>
              </c15:ser>
            </c15:filteredBarSeries>
            <c15:filteredBarSeries>
              <c15:ser>
                <c:idx val="4"/>
                <c:order val="4"/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Planilha1!$B$40:$B$45</c15:sqref>
                        </c15:formulaRef>
                      </c:ext>
                    </c:extLst>
                    <c:strCache>
                      <c:ptCount val="6"/>
                      <c:pt idx="0">
                        <c:v>Papel</c:v>
                      </c:pt>
                      <c:pt idx="1">
                        <c:v>Tijolo</c:v>
                      </c:pt>
                      <c:pt idx="2">
                        <c:v>Hibridos</c:v>
                      </c:pt>
                      <c:pt idx="3">
                        <c:v>Fof's</c:v>
                      </c:pt>
                      <c:pt idx="4">
                        <c:v>Desenvolviemtno</c:v>
                      </c:pt>
                      <c:pt idx="5">
                        <c:v>Hotelaria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Planilha1!$G$40:$G$45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0950-42A7-9BD0-074564EA3E47}"/>
                  </c:ext>
                </c:extLst>
              </c15:ser>
            </c15:filteredBarSeries>
          </c:ext>
        </c:extLst>
      </c:barChart>
      <c:catAx>
        <c:axId val="499341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9337888"/>
        <c:crosses val="autoZero"/>
        <c:auto val="1"/>
        <c:lblAlgn val="ctr"/>
        <c:lblOffset val="100"/>
        <c:noMultiLvlLbl val="0"/>
      </c:catAx>
      <c:valAx>
        <c:axId val="499337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9341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2.png"/><Relationship Id="rId7" Type="http://schemas.openxmlformats.org/officeDocument/2006/relationships/image" Target="../media/image5.png"/><Relationship Id="rId2" Type="http://schemas.openxmlformats.org/officeDocument/2006/relationships/hyperlink" Target="https://pixabay.com/pt/gr%C3%A1fico-diagrama-recess%C3%A3o-3078539/" TargetMode="External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hyperlink" Target="https://svgsilh.com/pt/2196f3/image/1351881.html" TargetMode="External"/><Relationship Id="rId9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16384</xdr:col>
      <xdr:colOff>609599</xdr:colOff>
      <xdr:row>14</xdr:row>
      <xdr:rowOff>104775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468764A-BBBD-98F9-5728-FD7315EE55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rcRect t="12474" b="13098"/>
        <a:stretch>
          <a:fillRect/>
        </a:stretch>
      </xdr:blipFill>
      <xdr:spPr>
        <a:xfrm>
          <a:off x="0" y="28575"/>
          <a:ext cx="11496674" cy="3409950"/>
        </a:xfrm>
        <a:prstGeom prst="rect">
          <a:avLst/>
        </a:prstGeom>
      </xdr:spPr>
    </xdr:pic>
    <xdr:clientData/>
  </xdr:twoCellAnchor>
  <xdr:twoCellAnchor editAs="oneCell">
    <xdr:from>
      <xdr:col>2</xdr:col>
      <xdr:colOff>57148</xdr:colOff>
      <xdr:row>8</xdr:row>
      <xdr:rowOff>158414</xdr:rowOff>
    </xdr:from>
    <xdr:to>
      <xdr:col>3</xdr:col>
      <xdr:colOff>314325</xdr:colOff>
      <xdr:row>12</xdr:row>
      <xdr:rowOff>9526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BABEFB6E-E2A9-9204-BA57-F2D345117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tretch>
          <a:fillRect/>
        </a:stretch>
      </xdr:blipFill>
      <xdr:spPr>
        <a:xfrm flipH="1">
          <a:off x="1276348" y="2063414"/>
          <a:ext cx="866777" cy="803612"/>
        </a:xfrm>
        <a:prstGeom prst="rect">
          <a:avLst/>
        </a:prstGeom>
      </xdr:spPr>
    </xdr:pic>
    <xdr:clientData/>
  </xdr:twoCellAnchor>
  <xdr:twoCellAnchor editAs="oneCell">
    <xdr:from>
      <xdr:col>3</xdr:col>
      <xdr:colOff>438148</xdr:colOff>
      <xdr:row>6</xdr:row>
      <xdr:rowOff>215564</xdr:rowOff>
    </xdr:from>
    <xdr:to>
      <xdr:col>4</xdr:col>
      <xdr:colOff>28575</xdr:colOff>
      <xdr:row>10</xdr:row>
      <xdr:rowOff>66676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1F64DE36-BB4B-4F37-942B-9496B5087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tretch>
          <a:fillRect/>
        </a:stretch>
      </xdr:blipFill>
      <xdr:spPr>
        <a:xfrm flipH="1">
          <a:off x="2266948" y="1644314"/>
          <a:ext cx="866777" cy="803612"/>
        </a:xfrm>
        <a:prstGeom prst="rect">
          <a:avLst/>
        </a:prstGeom>
      </xdr:spPr>
    </xdr:pic>
    <xdr:clientData/>
  </xdr:twoCellAnchor>
  <xdr:twoCellAnchor editAs="oneCell">
    <xdr:from>
      <xdr:col>4</xdr:col>
      <xdr:colOff>123823</xdr:colOff>
      <xdr:row>5</xdr:row>
      <xdr:rowOff>101264</xdr:rowOff>
    </xdr:from>
    <xdr:to>
      <xdr:col>5</xdr:col>
      <xdr:colOff>381000</xdr:colOff>
      <xdr:row>8</xdr:row>
      <xdr:rowOff>190501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F608EAC0-34B3-4AC3-88F3-CAA9F499D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tretch>
          <a:fillRect/>
        </a:stretch>
      </xdr:blipFill>
      <xdr:spPr>
        <a:xfrm flipH="1">
          <a:off x="3228973" y="1291889"/>
          <a:ext cx="866777" cy="803612"/>
        </a:xfrm>
        <a:prstGeom prst="rect">
          <a:avLst/>
        </a:prstGeom>
      </xdr:spPr>
    </xdr:pic>
    <xdr:clientData/>
  </xdr:twoCellAnchor>
  <xdr:twoCellAnchor editAs="oneCell">
    <xdr:from>
      <xdr:col>5</xdr:col>
      <xdr:colOff>476248</xdr:colOff>
      <xdr:row>3</xdr:row>
      <xdr:rowOff>186989</xdr:rowOff>
    </xdr:from>
    <xdr:to>
      <xdr:col>7</xdr:col>
      <xdr:colOff>123825</xdr:colOff>
      <xdr:row>7</xdr:row>
      <xdr:rowOff>38101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75AF77E-08C6-40DB-BF63-F999406B4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tretch>
          <a:fillRect/>
        </a:stretch>
      </xdr:blipFill>
      <xdr:spPr>
        <a:xfrm flipH="1">
          <a:off x="4190998" y="901364"/>
          <a:ext cx="866777" cy="803612"/>
        </a:xfrm>
        <a:prstGeom prst="rect">
          <a:avLst/>
        </a:prstGeom>
      </xdr:spPr>
    </xdr:pic>
    <xdr:clientData/>
  </xdr:twoCellAnchor>
  <xdr:twoCellAnchor editAs="oneCell">
    <xdr:from>
      <xdr:col>7</xdr:col>
      <xdr:colOff>114298</xdr:colOff>
      <xdr:row>1</xdr:row>
      <xdr:rowOff>110789</xdr:rowOff>
    </xdr:from>
    <xdr:to>
      <xdr:col>7</xdr:col>
      <xdr:colOff>981075</xdr:colOff>
      <xdr:row>4</xdr:row>
      <xdr:rowOff>200026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24358256-D4A2-4B31-892B-BC686E8F2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tretch>
          <a:fillRect/>
        </a:stretch>
      </xdr:blipFill>
      <xdr:spPr>
        <a:xfrm flipH="1">
          <a:off x="5048248" y="348914"/>
          <a:ext cx="866777" cy="803612"/>
        </a:xfrm>
        <a:prstGeom prst="rect">
          <a:avLst/>
        </a:prstGeom>
      </xdr:spPr>
    </xdr:pic>
    <xdr:clientData/>
  </xdr:twoCellAnchor>
  <xdr:twoCellAnchor editAs="oneCell">
    <xdr:from>
      <xdr:col>7</xdr:col>
      <xdr:colOff>1057273</xdr:colOff>
      <xdr:row>0</xdr:row>
      <xdr:rowOff>0</xdr:rowOff>
    </xdr:from>
    <xdr:to>
      <xdr:col>8</xdr:col>
      <xdr:colOff>476250</xdr:colOff>
      <xdr:row>3</xdr:row>
      <xdr:rowOff>89237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1CCEDBDD-8507-446A-B92D-C05005E451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tretch>
          <a:fillRect/>
        </a:stretch>
      </xdr:blipFill>
      <xdr:spPr>
        <a:xfrm flipH="1">
          <a:off x="5991223" y="0"/>
          <a:ext cx="866777" cy="803612"/>
        </a:xfrm>
        <a:prstGeom prst="rect">
          <a:avLst/>
        </a:prstGeom>
      </xdr:spPr>
    </xdr:pic>
    <xdr:clientData/>
  </xdr:twoCellAnchor>
  <xdr:twoCellAnchor editAs="oneCell">
    <xdr:from>
      <xdr:col>8</xdr:col>
      <xdr:colOff>447672</xdr:colOff>
      <xdr:row>0</xdr:row>
      <xdr:rowOff>0</xdr:rowOff>
    </xdr:from>
    <xdr:to>
      <xdr:col>9</xdr:col>
      <xdr:colOff>704849</xdr:colOff>
      <xdr:row>2</xdr:row>
      <xdr:rowOff>133350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DF796A91-6A0B-40DC-B17D-79EBFA06B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tretch>
          <a:fillRect/>
        </a:stretch>
      </xdr:blipFill>
      <xdr:spPr>
        <a:xfrm flipH="1">
          <a:off x="6829422" y="0"/>
          <a:ext cx="866777" cy="609600"/>
        </a:xfrm>
        <a:prstGeom prst="rect">
          <a:avLst/>
        </a:prstGeom>
      </xdr:spPr>
    </xdr:pic>
    <xdr:clientData/>
  </xdr:twoCellAnchor>
  <xdr:twoCellAnchor editAs="oneCell">
    <xdr:from>
      <xdr:col>9</xdr:col>
      <xdr:colOff>907878</xdr:colOff>
      <xdr:row>0</xdr:row>
      <xdr:rowOff>149821</xdr:rowOff>
    </xdr:from>
    <xdr:to>
      <xdr:col>9</xdr:col>
      <xdr:colOff>1711490</xdr:colOff>
      <xdr:row>4</xdr:row>
      <xdr:rowOff>64098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C8FA55A-E390-474C-80E5-C077B754E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tretch>
          <a:fillRect/>
        </a:stretch>
      </xdr:blipFill>
      <xdr:spPr>
        <a:xfrm rot="18211547" flipH="1">
          <a:off x="7867645" y="181404"/>
          <a:ext cx="866777" cy="803612"/>
        </a:xfrm>
        <a:prstGeom prst="rect">
          <a:avLst/>
        </a:prstGeom>
      </xdr:spPr>
    </xdr:pic>
    <xdr:clientData/>
  </xdr:twoCellAnchor>
  <xdr:twoCellAnchor>
    <xdr:from>
      <xdr:col>1</xdr:col>
      <xdr:colOff>11906</xdr:colOff>
      <xdr:row>48</xdr:row>
      <xdr:rowOff>119062</xdr:rowOff>
    </xdr:from>
    <xdr:to>
      <xdr:col>10</xdr:col>
      <xdr:colOff>95250</xdr:colOff>
      <xdr:row>62</xdr:row>
      <xdr:rowOff>163117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D55329B5-D09B-4BAA-8865-1F9E9D0D3C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99EFE-307F-4F6C-96A2-DC3A316D8994}">
  <dimension ref="A1:M67"/>
  <sheetViews>
    <sheetView showGridLines="0" tabSelected="1" zoomScale="80" zoomScaleNormal="80" workbookViewId="0">
      <selection activeCell="K61" sqref="K61"/>
    </sheetView>
  </sheetViews>
  <sheetFormatPr defaultColWidth="0" defaultRowHeight="18.75" zeroHeight="1" x14ac:dyDescent="0.3"/>
  <cols>
    <col min="1" max="3" width="9.140625" style="1" customWidth="1"/>
    <col min="4" max="4" width="19.140625" style="1" customWidth="1"/>
    <col min="5" max="7" width="9.140625" style="1" customWidth="1"/>
    <col min="8" max="8" width="21.7109375" style="4" bestFit="1" customWidth="1"/>
    <col min="9" max="9" width="9.140625" style="1" customWidth="1"/>
    <col min="10" max="10" width="27.42578125" style="1" bestFit="1" customWidth="1"/>
    <col min="11" max="11" width="16.7109375" style="1" bestFit="1" customWidth="1"/>
    <col min="12" max="12" width="5.85546875" style="1" hidden="1"/>
    <col min="13" max="16384" width="2.42578125" style="1" hidden="1"/>
  </cols>
  <sheetData>
    <row r="1" spans="2:8" x14ac:dyDescent="0.3"/>
    <row r="2" spans="2:8" x14ac:dyDescent="0.3"/>
    <row r="3" spans="2:8" x14ac:dyDescent="0.3"/>
    <row r="4" spans="2:8" x14ac:dyDescent="0.3"/>
    <row r="5" spans="2:8" x14ac:dyDescent="0.3"/>
    <row r="6" spans="2:8" x14ac:dyDescent="0.3"/>
    <row r="7" spans="2:8" x14ac:dyDescent="0.3"/>
    <row r="8" spans="2:8" x14ac:dyDescent="0.3"/>
    <row r="9" spans="2:8" x14ac:dyDescent="0.3"/>
    <row r="10" spans="2:8" x14ac:dyDescent="0.3"/>
    <row r="11" spans="2:8" x14ac:dyDescent="0.3"/>
    <row r="12" spans="2:8" x14ac:dyDescent="0.3"/>
    <row r="13" spans="2:8" x14ac:dyDescent="0.3"/>
    <row r="14" spans="2:8" x14ac:dyDescent="0.3"/>
    <row r="15" spans="2:8" x14ac:dyDescent="0.3"/>
    <row r="16" spans="2:8" ht="20.25" x14ac:dyDescent="0.3">
      <c r="B16" s="9" t="s">
        <v>14</v>
      </c>
      <c r="C16" s="9"/>
      <c r="D16" s="9"/>
      <c r="E16" s="9"/>
      <c r="F16" s="9"/>
      <c r="G16" s="9"/>
      <c r="H16" s="9"/>
    </row>
    <row r="17" spans="1:13" x14ac:dyDescent="0.3">
      <c r="B17" s="10" t="s">
        <v>13</v>
      </c>
      <c r="C17" s="10"/>
      <c r="D17" s="10"/>
      <c r="E17" s="11">
        <v>5000</v>
      </c>
      <c r="F17" s="11"/>
      <c r="G17" s="11"/>
      <c r="H17" s="11"/>
    </row>
    <row r="18" spans="1:13" x14ac:dyDescent="0.3">
      <c r="B18" s="2" t="s">
        <v>15</v>
      </c>
      <c r="C18" s="2"/>
      <c r="D18" s="2"/>
      <c r="E18" s="23">
        <v>6.0000000000000001E-3</v>
      </c>
      <c r="F18" s="23"/>
      <c r="G18" s="23"/>
      <c r="H18" s="23"/>
    </row>
    <row r="19" spans="1:13" x14ac:dyDescent="0.3">
      <c r="B19" s="10" t="s">
        <v>16</v>
      </c>
      <c r="C19" s="10"/>
      <c r="D19" s="10"/>
      <c r="E19" s="12">
        <f>E17*30%</f>
        <v>1500</v>
      </c>
      <c r="F19" s="12"/>
      <c r="G19" s="12"/>
      <c r="H19" s="12"/>
    </row>
    <row r="20" spans="1:13" x14ac:dyDescent="0.3">
      <c r="E20" s="5"/>
      <c r="F20" s="5"/>
      <c r="G20" s="5"/>
      <c r="H20" s="5"/>
    </row>
    <row r="21" spans="1:13" ht="20.25" x14ac:dyDescent="0.3">
      <c r="B21" s="9" t="s">
        <v>5</v>
      </c>
      <c r="C21" s="9"/>
      <c r="D21" s="9"/>
      <c r="E21" s="9"/>
      <c r="F21" s="9"/>
      <c r="G21" s="9"/>
      <c r="H21" s="9"/>
      <c r="J21" s="22"/>
    </row>
    <row r="22" spans="1:13" x14ac:dyDescent="0.3">
      <c r="B22" s="10" t="s">
        <v>0</v>
      </c>
      <c r="C22" s="10"/>
      <c r="D22" s="10"/>
      <c r="E22" s="16">
        <v>500</v>
      </c>
      <c r="F22" s="16"/>
      <c r="G22" s="16"/>
      <c r="H22" s="16"/>
    </row>
    <row r="23" spans="1:13" x14ac:dyDescent="0.3">
      <c r="B23" s="13" t="s">
        <v>1</v>
      </c>
      <c r="C23" s="13"/>
      <c r="D23" s="13"/>
      <c r="E23" s="14">
        <v>5</v>
      </c>
      <c r="F23" s="14"/>
      <c r="G23" s="14"/>
      <c r="H23" s="14"/>
    </row>
    <row r="24" spans="1:13" x14ac:dyDescent="0.3">
      <c r="B24" s="10" t="s">
        <v>2</v>
      </c>
      <c r="C24" s="10"/>
      <c r="D24" s="10"/>
      <c r="E24" s="17">
        <v>1.0789999999999999E-2</v>
      </c>
      <c r="F24" s="17"/>
      <c r="G24" s="17"/>
      <c r="H24" s="17"/>
    </row>
    <row r="25" spans="1:13" x14ac:dyDescent="0.3">
      <c r="B25" s="13" t="s">
        <v>3</v>
      </c>
      <c r="C25" s="13"/>
      <c r="D25" s="13"/>
      <c r="E25" s="15">
        <f>FV(E24,E23*12,E22*-1)</f>
        <v>41888.456999243819</v>
      </c>
      <c r="F25" s="15"/>
      <c r="G25" s="15"/>
      <c r="H25" s="15"/>
    </row>
    <row r="26" spans="1:13" x14ac:dyDescent="0.3">
      <c r="B26" s="10" t="s">
        <v>4</v>
      </c>
      <c r="C26" s="10"/>
      <c r="D26" s="10"/>
      <c r="E26" s="18">
        <v>5</v>
      </c>
      <c r="F26" s="18"/>
      <c r="G26" s="18"/>
      <c r="H26" s="18"/>
    </row>
    <row r="27" spans="1:13" x14ac:dyDescent="0.3"/>
    <row r="28" spans="1:13" ht="20.25" x14ac:dyDescent="0.3">
      <c r="B28" s="9" t="s">
        <v>6</v>
      </c>
      <c r="C28" s="9"/>
      <c r="D28" s="9"/>
      <c r="E28" s="9"/>
      <c r="F28" s="9"/>
      <c r="G28" s="9"/>
      <c r="H28" s="9" t="s">
        <v>12</v>
      </c>
      <c r="I28" s="9"/>
      <c r="J28" s="9"/>
      <c r="K28"/>
      <c r="L28"/>
      <c r="M28"/>
    </row>
    <row r="29" spans="1:13" x14ac:dyDescent="0.3">
      <c r="A29" s="3">
        <v>2</v>
      </c>
      <c r="B29" s="10" t="s">
        <v>7</v>
      </c>
      <c r="C29" s="10"/>
      <c r="D29" s="10"/>
      <c r="E29" s="20">
        <f>FV($E$24,A29*12,$E$22*-1)</f>
        <v>13613.813648822608</v>
      </c>
      <c r="F29" s="20"/>
      <c r="G29" s="20"/>
      <c r="H29" s="19">
        <f>E29*$E$18</f>
        <v>81.682881892935654</v>
      </c>
      <c r="I29" s="19"/>
      <c r="J29" s="19"/>
    </row>
    <row r="30" spans="1:13" x14ac:dyDescent="0.3">
      <c r="A30" s="3">
        <v>5</v>
      </c>
      <c r="B30" s="21" t="s">
        <v>8</v>
      </c>
      <c r="C30" s="21"/>
      <c r="D30" s="21"/>
      <c r="E30" s="7">
        <f t="shared" ref="E30:E33" si="0">FV($E$24,A30*12,$E$22*-1)</f>
        <v>41888.456999243819</v>
      </c>
      <c r="F30" s="8"/>
      <c r="G30" s="8"/>
      <c r="H30" s="6">
        <f>E30*$E$18</f>
        <v>251.33074199546292</v>
      </c>
      <c r="I30" s="6"/>
      <c r="J30" s="6"/>
    </row>
    <row r="31" spans="1:13" x14ac:dyDescent="0.3">
      <c r="A31" s="3">
        <v>10</v>
      </c>
      <c r="B31" s="10" t="s">
        <v>9</v>
      </c>
      <c r="C31" s="10"/>
      <c r="D31" s="10"/>
      <c r="E31" s="20">
        <f t="shared" si="0"/>
        <v>121642.1062650861</v>
      </c>
      <c r="F31" s="16"/>
      <c r="G31" s="16"/>
      <c r="H31" s="19">
        <f>E31*$E$18</f>
        <v>729.85263759051657</v>
      </c>
      <c r="I31" s="19"/>
      <c r="J31" s="19"/>
    </row>
    <row r="32" spans="1:13" x14ac:dyDescent="0.3">
      <c r="A32" s="3">
        <v>20</v>
      </c>
      <c r="B32" s="21" t="s">
        <v>10</v>
      </c>
      <c r="C32" s="21"/>
      <c r="D32" s="21"/>
      <c r="E32" s="7">
        <f t="shared" si="0"/>
        <v>562599.20004854025</v>
      </c>
      <c r="F32" s="8"/>
      <c r="G32" s="8"/>
      <c r="H32" s="6">
        <f>E32*$E$18</f>
        <v>3375.5952002912418</v>
      </c>
      <c r="I32" s="6"/>
      <c r="J32" s="6"/>
    </row>
    <row r="33" spans="1:11" x14ac:dyDescent="0.3">
      <c r="A33" s="3">
        <v>30</v>
      </c>
      <c r="B33" s="10" t="s">
        <v>11</v>
      </c>
      <c r="C33" s="10"/>
      <c r="D33" s="10"/>
      <c r="E33" s="20">
        <f t="shared" si="0"/>
        <v>2161084.8275023573</v>
      </c>
      <c r="F33" s="16"/>
      <c r="G33" s="16"/>
      <c r="H33" s="19">
        <f>E33*$E$18</f>
        <v>12966.508965014144</v>
      </c>
      <c r="I33" s="19"/>
      <c r="J33" s="19"/>
    </row>
    <row r="34" spans="1:11" x14ac:dyDescent="0.3">
      <c r="H34" s="1"/>
      <c r="I34" s="4"/>
    </row>
    <row r="35" spans="1:11" ht="18.75" customHeight="1" x14ac:dyDescent="0.3">
      <c r="B35" s="25" t="s">
        <v>17</v>
      </c>
      <c r="C35" s="25"/>
      <c r="D35" s="25"/>
      <c r="E35" s="25"/>
      <c r="F35" s="25"/>
      <c r="G35" s="25"/>
      <c r="H35" s="24" t="s">
        <v>32</v>
      </c>
      <c r="I35" s="24"/>
      <c r="J35" s="24"/>
    </row>
    <row r="36" spans="1:11" ht="18.75" customHeight="1" x14ac:dyDescent="0.3">
      <c r="B36" s="25"/>
      <c r="C36" s="25"/>
      <c r="D36" s="25"/>
      <c r="E36" s="25"/>
      <c r="F36" s="25"/>
      <c r="G36" s="25"/>
      <c r="H36" s="24"/>
      <c r="I36" s="24"/>
      <c r="J36" s="24"/>
    </row>
    <row r="37" spans="1:11" ht="24" x14ac:dyDescent="0.4">
      <c r="B37" s="26" t="s">
        <v>20</v>
      </c>
      <c r="C37" s="26"/>
      <c r="D37" s="26"/>
      <c r="E37" s="26"/>
      <c r="F37" s="26"/>
      <c r="G37" s="26"/>
      <c r="H37" s="30">
        <f>aporte</f>
        <v>500</v>
      </c>
      <c r="I37" s="30"/>
      <c r="J37" s="30"/>
    </row>
    <row r="38" spans="1:11" ht="24" x14ac:dyDescent="0.4">
      <c r="B38" s="27"/>
      <c r="C38" s="27"/>
      <c r="D38" s="27"/>
      <c r="E38" s="27"/>
      <c r="F38" s="27"/>
      <c r="G38" s="27"/>
    </row>
    <row r="39" spans="1:11" ht="24" x14ac:dyDescent="0.4">
      <c r="B39" s="31" t="s">
        <v>21</v>
      </c>
      <c r="C39" s="31"/>
      <c r="D39" s="31"/>
      <c r="E39" s="31"/>
      <c r="F39" s="31"/>
      <c r="G39" s="31"/>
      <c r="H39" s="32" t="s">
        <v>28</v>
      </c>
      <c r="I39" s="33"/>
      <c r="J39" s="33" t="s">
        <v>29</v>
      </c>
      <c r="K39" s="27"/>
    </row>
    <row r="40" spans="1:11" ht="24" x14ac:dyDescent="0.4">
      <c r="B40" s="28" t="s">
        <v>22</v>
      </c>
      <c r="C40" s="28"/>
      <c r="D40" s="28"/>
      <c r="E40" s="28"/>
      <c r="F40" s="28"/>
      <c r="G40" s="28"/>
      <c r="H40" s="43">
        <f>VLOOKUP($H$35&amp;"-"&amp;B40,Planilha2!A1:D19,4,FALSE)</f>
        <v>0.32</v>
      </c>
      <c r="I40" s="27"/>
      <c r="J40" s="29">
        <f>$H$37*H40</f>
        <v>160</v>
      </c>
      <c r="K40" s="27"/>
    </row>
    <row r="41" spans="1:11" ht="24" x14ac:dyDescent="0.4">
      <c r="B41" s="28" t="s">
        <v>23</v>
      </c>
      <c r="C41" s="28"/>
      <c r="D41" s="28"/>
      <c r="E41" s="28"/>
      <c r="F41" s="28"/>
      <c r="G41" s="28"/>
      <c r="H41" s="43">
        <f>VLOOKUP($H$35&amp;"-"&amp;B41,Planilha2!A2:D20,4,FALSE)</f>
        <v>0.35</v>
      </c>
      <c r="I41" s="27"/>
      <c r="J41" s="29">
        <f t="shared" ref="J41:J45" si="1">$H$37*H41</f>
        <v>175</v>
      </c>
      <c r="K41" s="27"/>
    </row>
    <row r="42" spans="1:11" ht="24" x14ac:dyDescent="0.4">
      <c r="B42" s="28" t="s">
        <v>24</v>
      </c>
      <c r="C42" s="28"/>
      <c r="D42" s="28"/>
      <c r="E42" s="28"/>
      <c r="F42" s="28"/>
      <c r="G42" s="28"/>
      <c r="H42" s="43">
        <f>VLOOKUP($H$35&amp;"-"&amp;B42,Planilha2!A3:D21,4,FALSE)</f>
        <v>0.05</v>
      </c>
      <c r="I42" s="27"/>
      <c r="J42" s="29">
        <f t="shared" si="1"/>
        <v>25</v>
      </c>
      <c r="K42" s="27"/>
    </row>
    <row r="43" spans="1:11" ht="24" x14ac:dyDescent="0.4">
      <c r="B43" s="28" t="s">
        <v>25</v>
      </c>
      <c r="C43" s="28"/>
      <c r="D43" s="28"/>
      <c r="E43" s="28"/>
      <c r="F43" s="28"/>
      <c r="G43" s="28"/>
      <c r="H43" s="43">
        <f>VLOOKUP($H$35&amp;"-"&amp;B43,Planilha2!A4:D22,4,FALSE)</f>
        <v>0.08</v>
      </c>
      <c r="I43" s="27"/>
      <c r="J43" s="29">
        <f t="shared" si="1"/>
        <v>40</v>
      </c>
      <c r="K43" s="27"/>
    </row>
    <row r="44" spans="1:11" ht="24" x14ac:dyDescent="0.4">
      <c r="B44" s="28" t="s">
        <v>26</v>
      </c>
      <c r="C44" s="28"/>
      <c r="D44" s="28"/>
      <c r="E44" s="28"/>
      <c r="F44" s="28"/>
      <c r="G44" s="28"/>
      <c r="H44" s="43">
        <f>VLOOKUP($H$35&amp;"-"&amp;B44,Planilha2!A5:D23,4,FALSE)</f>
        <v>0.1</v>
      </c>
      <c r="I44" s="27"/>
      <c r="J44" s="29">
        <f t="shared" si="1"/>
        <v>50</v>
      </c>
      <c r="K44" s="27"/>
    </row>
    <row r="45" spans="1:11" ht="24" x14ac:dyDescent="0.4">
      <c r="B45" s="28" t="s">
        <v>27</v>
      </c>
      <c r="C45" s="28"/>
      <c r="D45" s="28"/>
      <c r="E45" s="28"/>
      <c r="F45" s="28"/>
      <c r="G45" s="28"/>
      <c r="H45" s="43">
        <f>VLOOKUP($H$35&amp;"-"&amp;B45,Planilha2!A6:D24,4,FALSE)</f>
        <v>0.1</v>
      </c>
      <c r="I45" s="27"/>
      <c r="J45" s="29">
        <f t="shared" si="1"/>
        <v>50</v>
      </c>
      <c r="K45" s="27"/>
    </row>
    <row r="46" spans="1:11" x14ac:dyDescent="0.3"/>
    <row r="47" spans="1:11" x14ac:dyDescent="0.3">
      <c r="B47" s="37" t="s">
        <v>30</v>
      </c>
      <c r="C47" s="37"/>
      <c r="D47" s="37"/>
      <c r="E47" s="37"/>
      <c r="F47" s="37"/>
      <c r="G47" s="37"/>
      <c r="H47" s="35"/>
      <c r="I47" s="34"/>
      <c r="J47" s="36">
        <f>SUM(J40:J46)</f>
        <v>500</v>
      </c>
    </row>
    <row r="48" spans="1:11" x14ac:dyDescent="0.3"/>
    <row r="49" x14ac:dyDescent="0.3"/>
    <row r="50" x14ac:dyDescent="0.3"/>
    <row r="51" x14ac:dyDescent="0.3"/>
    <row r="52" x14ac:dyDescent="0.3"/>
    <row r="53" x14ac:dyDescent="0.3"/>
    <row r="54" x14ac:dyDescent="0.3"/>
    <row r="55" x14ac:dyDescent="0.3"/>
    <row r="56" x14ac:dyDescent="0.3"/>
    <row r="57" x14ac:dyDescent="0.3"/>
    <row r="58" x14ac:dyDescent="0.3"/>
    <row r="59" x14ac:dyDescent="0.3"/>
    <row r="60" x14ac:dyDescent="0.3"/>
    <row r="61" x14ac:dyDescent="0.3"/>
    <row r="62" x14ac:dyDescent="0.3"/>
    <row r="63" x14ac:dyDescent="0.3"/>
    <row r="64" x14ac:dyDescent="0.3"/>
    <row r="65" x14ac:dyDescent="0.3"/>
    <row r="66" x14ac:dyDescent="0.3"/>
    <row r="67" x14ac:dyDescent="0.3"/>
  </sheetData>
  <mergeCells count="47">
    <mergeCell ref="B44:G44"/>
    <mergeCell ref="B45:G45"/>
    <mergeCell ref="H37:J37"/>
    <mergeCell ref="B47:G47"/>
    <mergeCell ref="B37:G37"/>
    <mergeCell ref="B39:G39"/>
    <mergeCell ref="B40:G40"/>
    <mergeCell ref="B41:G41"/>
    <mergeCell ref="B42:G42"/>
    <mergeCell ref="B43:G43"/>
    <mergeCell ref="B18:D18"/>
    <mergeCell ref="B19:D19"/>
    <mergeCell ref="B35:G36"/>
    <mergeCell ref="H35:J36"/>
    <mergeCell ref="H29:J29"/>
    <mergeCell ref="H30:J30"/>
    <mergeCell ref="H31:J31"/>
    <mergeCell ref="H32:J32"/>
    <mergeCell ref="H33:J33"/>
    <mergeCell ref="E17:H17"/>
    <mergeCell ref="E18:H18"/>
    <mergeCell ref="E19:H19"/>
    <mergeCell ref="B21:H21"/>
    <mergeCell ref="B17:D17"/>
    <mergeCell ref="E22:H22"/>
    <mergeCell ref="E23:H23"/>
    <mergeCell ref="E24:H24"/>
    <mergeCell ref="E25:H25"/>
    <mergeCell ref="E26:H26"/>
    <mergeCell ref="H28:J28"/>
    <mergeCell ref="B16:H16"/>
    <mergeCell ref="B31:D31"/>
    <mergeCell ref="E31:G31"/>
    <mergeCell ref="B32:D32"/>
    <mergeCell ref="E32:G32"/>
    <mergeCell ref="B33:D33"/>
    <mergeCell ref="E33:G33"/>
    <mergeCell ref="B28:G28"/>
    <mergeCell ref="B29:D29"/>
    <mergeCell ref="E29:G29"/>
    <mergeCell ref="B30:D30"/>
    <mergeCell ref="E30:G30"/>
    <mergeCell ref="B22:D22"/>
    <mergeCell ref="B23:D23"/>
    <mergeCell ref="B24:D24"/>
    <mergeCell ref="B25:D25"/>
    <mergeCell ref="B26:D26"/>
  </mergeCells>
  <dataValidations count="1">
    <dataValidation type="list" allowBlank="1" showInputMessage="1" showErrorMessage="1" sqref="H35" xr:uid="{66B97C29-5818-4E9C-B405-E34349B9C823}">
      <formula1>"Agressivo,Conservador,Moderado"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54F45-C500-438F-A6C9-CEF66885187E}">
  <dimension ref="A1:H19"/>
  <sheetViews>
    <sheetView workbookViewId="0">
      <selection activeCell="J14" sqref="J14"/>
    </sheetView>
  </sheetViews>
  <sheetFormatPr defaultRowHeight="15" x14ac:dyDescent="0.25"/>
  <cols>
    <col min="1" max="1" width="25.28515625" customWidth="1"/>
    <col min="2" max="2" width="19" customWidth="1"/>
    <col min="3" max="3" width="16.140625" bestFit="1" customWidth="1"/>
    <col min="4" max="4" width="13.7109375" bestFit="1" customWidth="1"/>
    <col min="7" max="7" width="32.5703125" customWidth="1"/>
  </cols>
  <sheetData>
    <row r="1" spans="1:8" x14ac:dyDescent="0.25">
      <c r="A1" t="s">
        <v>34</v>
      </c>
      <c r="B1" t="s">
        <v>31</v>
      </c>
      <c r="C1" t="s">
        <v>21</v>
      </c>
      <c r="D1" t="s">
        <v>33</v>
      </c>
    </row>
    <row r="2" spans="1:8" x14ac:dyDescent="0.25">
      <c r="A2" t="str">
        <f>B2&amp;"-"&amp;C2</f>
        <v>Conservador-Papel</v>
      </c>
      <c r="B2" t="s">
        <v>19</v>
      </c>
      <c r="C2" t="s">
        <v>22</v>
      </c>
      <c r="D2" s="38">
        <v>0.3</v>
      </c>
    </row>
    <row r="3" spans="1:8" x14ac:dyDescent="0.25">
      <c r="A3" t="str">
        <f t="shared" ref="A3:A19" si="0">B3&amp;"-"&amp;C3</f>
        <v>Conservador-Tijolo</v>
      </c>
      <c r="B3" t="s">
        <v>19</v>
      </c>
      <c r="C3" t="s">
        <v>23</v>
      </c>
      <c r="D3" s="38">
        <v>0.5</v>
      </c>
      <c r="G3" t="s">
        <v>35</v>
      </c>
      <c r="H3" s="38">
        <f>VLOOKUP(G3,A1:D19,4,FALSE)</f>
        <v>0.5</v>
      </c>
    </row>
    <row r="4" spans="1:8" x14ac:dyDescent="0.25">
      <c r="A4" t="str">
        <f t="shared" si="0"/>
        <v>Conservador-Hibridos</v>
      </c>
      <c r="B4" t="s">
        <v>19</v>
      </c>
      <c r="C4" t="s">
        <v>24</v>
      </c>
      <c r="D4" s="38">
        <v>0.1</v>
      </c>
    </row>
    <row r="5" spans="1:8" x14ac:dyDescent="0.25">
      <c r="A5" t="str">
        <f t="shared" si="0"/>
        <v>Conservador-Fof's</v>
      </c>
      <c r="B5" t="s">
        <v>19</v>
      </c>
      <c r="C5" t="s">
        <v>25</v>
      </c>
      <c r="D5" s="38">
        <v>0.1</v>
      </c>
    </row>
    <row r="6" spans="1:8" x14ac:dyDescent="0.25">
      <c r="A6" t="str">
        <f t="shared" si="0"/>
        <v>Conservador-Desenvolviemtno</v>
      </c>
      <c r="B6" t="s">
        <v>19</v>
      </c>
      <c r="C6" t="s">
        <v>26</v>
      </c>
      <c r="D6" s="38">
        <v>0</v>
      </c>
    </row>
    <row r="7" spans="1:8" x14ac:dyDescent="0.25">
      <c r="A7" t="str">
        <f t="shared" si="0"/>
        <v>Conservador-Hotelaria</v>
      </c>
      <c r="B7" t="s">
        <v>19</v>
      </c>
      <c r="C7" t="s">
        <v>27</v>
      </c>
      <c r="D7" s="38">
        <v>0</v>
      </c>
    </row>
    <row r="8" spans="1:8" x14ac:dyDescent="0.25">
      <c r="A8" s="39" t="str">
        <f t="shared" si="0"/>
        <v>Moderado-Papel</v>
      </c>
      <c r="B8" s="39" t="s">
        <v>32</v>
      </c>
      <c r="C8" s="39" t="s">
        <v>22</v>
      </c>
      <c r="D8" s="40">
        <v>0.32</v>
      </c>
    </row>
    <row r="9" spans="1:8" x14ac:dyDescent="0.25">
      <c r="A9" s="39" t="str">
        <f t="shared" si="0"/>
        <v>Moderado-Tijolo</v>
      </c>
      <c r="B9" s="39" t="s">
        <v>32</v>
      </c>
      <c r="C9" s="39" t="s">
        <v>23</v>
      </c>
      <c r="D9" s="42">
        <v>0.35</v>
      </c>
    </row>
    <row r="10" spans="1:8" x14ac:dyDescent="0.25">
      <c r="A10" s="39" t="str">
        <f t="shared" si="0"/>
        <v>Moderado-Hibridos</v>
      </c>
      <c r="B10" s="39" t="s">
        <v>32</v>
      </c>
      <c r="C10" s="39" t="s">
        <v>24</v>
      </c>
      <c r="D10" s="42">
        <v>0.05</v>
      </c>
    </row>
    <row r="11" spans="1:8" x14ac:dyDescent="0.25">
      <c r="A11" s="39" t="str">
        <f t="shared" si="0"/>
        <v>Moderado-Fof's</v>
      </c>
      <c r="B11" s="39" t="s">
        <v>32</v>
      </c>
      <c r="C11" s="39" t="s">
        <v>25</v>
      </c>
      <c r="D11" s="42">
        <v>0.08</v>
      </c>
    </row>
    <row r="12" spans="1:8" x14ac:dyDescent="0.25">
      <c r="A12" s="39" t="str">
        <f t="shared" si="0"/>
        <v>Moderado-Desenvolviemtno</v>
      </c>
      <c r="B12" s="39" t="s">
        <v>32</v>
      </c>
      <c r="C12" s="39" t="s">
        <v>26</v>
      </c>
      <c r="D12" s="42">
        <v>0.1</v>
      </c>
    </row>
    <row r="13" spans="1:8" x14ac:dyDescent="0.25">
      <c r="A13" s="39" t="str">
        <f t="shared" si="0"/>
        <v>Moderado-Hotelaria</v>
      </c>
      <c r="B13" s="39" t="s">
        <v>32</v>
      </c>
      <c r="C13" s="39" t="s">
        <v>27</v>
      </c>
      <c r="D13" s="42">
        <v>0.1</v>
      </c>
    </row>
    <row r="14" spans="1:8" x14ac:dyDescent="0.25">
      <c r="A14" t="str">
        <f t="shared" si="0"/>
        <v>Agressivo-Papel</v>
      </c>
      <c r="B14" t="s">
        <v>18</v>
      </c>
      <c r="C14" t="s">
        <v>22</v>
      </c>
      <c r="D14" s="41">
        <v>0.5</v>
      </c>
    </row>
    <row r="15" spans="1:8" x14ac:dyDescent="0.25">
      <c r="A15" t="str">
        <f t="shared" si="0"/>
        <v>Agressivo-Tijolo</v>
      </c>
      <c r="B15" t="s">
        <v>18</v>
      </c>
      <c r="C15" t="s">
        <v>23</v>
      </c>
      <c r="D15" s="41">
        <v>0.1</v>
      </c>
    </row>
    <row r="16" spans="1:8" x14ac:dyDescent="0.25">
      <c r="A16" t="str">
        <f t="shared" si="0"/>
        <v>Agressivo-Hibridos</v>
      </c>
      <c r="B16" t="s">
        <v>18</v>
      </c>
      <c r="C16" t="s">
        <v>24</v>
      </c>
      <c r="D16" s="41">
        <v>0.05</v>
      </c>
    </row>
    <row r="17" spans="1:4" x14ac:dyDescent="0.25">
      <c r="A17" t="str">
        <f t="shared" si="0"/>
        <v>Agressivo-Fof's</v>
      </c>
      <c r="B17" t="s">
        <v>18</v>
      </c>
      <c r="C17" t="s">
        <v>25</v>
      </c>
      <c r="D17" s="41">
        <v>0.05</v>
      </c>
    </row>
    <row r="18" spans="1:4" x14ac:dyDescent="0.25">
      <c r="A18" t="str">
        <f t="shared" si="0"/>
        <v>Agressivo-Desenvolviemtno</v>
      </c>
      <c r="B18" t="s">
        <v>18</v>
      </c>
      <c r="C18" t="s">
        <v>26</v>
      </c>
      <c r="D18" s="41">
        <v>0.2</v>
      </c>
    </row>
    <row r="19" spans="1:4" x14ac:dyDescent="0.25">
      <c r="A19" t="str">
        <f t="shared" si="0"/>
        <v>Agressivo-Hotelaria</v>
      </c>
      <c r="B19" t="s">
        <v>18</v>
      </c>
      <c r="C19" t="s">
        <v>27</v>
      </c>
      <c r="D19" s="41">
        <v>0.1</v>
      </c>
    </row>
  </sheetData>
  <dataValidations count="1">
    <dataValidation type="list" allowBlank="1" showInputMessage="1" showErrorMessage="1" sqref="G3" xr:uid="{6617455B-A9FA-46EB-95A6-41E60F5D9284}">
      <formula1>$A$2:$A$19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Planilha1</vt:lpstr>
      <vt:lpstr>Planilha2</vt:lpstr>
      <vt:lpstr>aporte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Juliane oliveira</dc:creator>
  <cp:lastModifiedBy>Juliane oliveira</cp:lastModifiedBy>
  <dcterms:created xsi:type="dcterms:W3CDTF">2025-12-19T17:37:49Z</dcterms:created>
  <dcterms:modified xsi:type="dcterms:W3CDTF">2025-12-19T20:56:26Z</dcterms:modified>
</cp:coreProperties>
</file>